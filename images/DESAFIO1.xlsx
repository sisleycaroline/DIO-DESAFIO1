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G:\Meu Drive\PERSONAL\CURSOS DA SIS\DIO\EXCEL E IA\DESAFIO 1\"/>
    </mc:Choice>
  </mc:AlternateContent>
  <xr:revisionPtr revIDLastSave="0" documentId="13_ncr:1_{EB14D0A6-86A8-4F51-8005-BAA1AA71A1AC}" xr6:coauthVersionLast="47" xr6:coauthVersionMax="47" xr10:uidLastSave="{00000000-0000-0000-0000-000000000000}"/>
  <bookViews>
    <workbookView xWindow="-108" yWindow="-108" windowWidth="23256" windowHeight="12456" xr2:uid="{66575BCC-B0BF-4CBA-A3C3-B910452432E2}"/>
  </bookViews>
  <sheets>
    <sheet name="APLICATIVO" sheetId="1" r:id="rId1"/>
    <sheet name="PERFIL DO INVESTIDOR" sheetId="2" r:id="rId2"/>
  </sheets>
  <definedNames>
    <definedName name="rendimento_carteira">APLICATIVO!$E$7</definedName>
    <definedName name="valor_por_mÊs">APLICATIVO!$E$11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 a="1"/>
  <c r="D25" i="1" s="1"/>
  <c r="E25" i="1" s="1"/>
  <c r="D26" i="1" a="1"/>
  <c r="D26" i="1" s="1"/>
  <c r="D27" i="1" a="1"/>
  <c r="D27" i="1" s="1"/>
  <c r="E27" i="1" s="1"/>
  <c r="D28" i="1" a="1"/>
  <c r="D28" i="1" s="1"/>
  <c r="E28" i="1" s="1"/>
  <c r="D29" i="1" a="1"/>
  <c r="D29" i="1" s="1"/>
  <c r="E29" i="1" s="1"/>
  <c r="D30" i="1" a="1"/>
  <c r="D30" i="1" s="1"/>
  <c r="E30" i="1" s="1"/>
  <c r="D21" i="1"/>
  <c r="B16" i="1"/>
  <c r="D16" i="1"/>
  <c r="E16" i="1" s="1"/>
  <c r="E26" i="1" l="1"/>
  <c r="E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<sst xmlns="http://schemas.openxmlformats.org/spreadsheetml/2006/main" count="63" uniqueCount="28">
  <si>
    <t>Taxa de Rendimento mensal?</t>
  </si>
  <si>
    <t>Patrimônio acumulado</t>
  </si>
  <si>
    <t>CENÁRIOS</t>
  </si>
  <si>
    <t>Rendimento Carteira</t>
  </si>
  <si>
    <t>Salário</t>
  </si>
  <si>
    <t>Dividendo</t>
  </si>
  <si>
    <t>INFORMAÇÕES GERAIS</t>
  </si>
  <si>
    <t xml:space="preserve">INVESTIMENTO </t>
  </si>
  <si>
    <t>Sugestão de investimento (30%)</t>
  </si>
  <si>
    <t>Quanto investir por mês?</t>
  </si>
  <si>
    <t>Anos</t>
  </si>
  <si>
    <t>PERFIL</t>
  </si>
  <si>
    <t>TIPO DE FII</t>
  </si>
  <si>
    <t>% INVESTIMENTO</t>
  </si>
  <si>
    <t>Conservador</t>
  </si>
  <si>
    <t>TIJOLO</t>
  </si>
  <si>
    <t>PAPEL</t>
  </si>
  <si>
    <t>FOFs</t>
  </si>
  <si>
    <t>HÍBRIDOS</t>
  </si>
  <si>
    <t>FIAGROS</t>
  </si>
  <si>
    <t>DESENVOLVIMENTO</t>
  </si>
  <si>
    <t>Moderado</t>
  </si>
  <si>
    <t>Valor a ser investido por mês</t>
  </si>
  <si>
    <t>Valores</t>
  </si>
  <si>
    <t>Tipo de FII</t>
  </si>
  <si>
    <t>Percentual sugerido</t>
  </si>
  <si>
    <t>Agressivo</t>
  </si>
  <si>
    <t>INVESTIMENTO EM 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</si>
</sst>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8" fontId="0" fillId="0" borderId="8" xfId="0" applyNumberFormat="1" applyBorder="1" applyAlignment="1">
      <alignment horizontal="center"/>
    </xf>
    <xf numFmtId="8" fontId="0" fillId="0" borderId="6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0" fontId="0" fillId="0" borderId="6" xfId="1" applyNumberFormat="1" applyFont="1" applyBorder="1" applyAlignment="1">
      <alignment horizontal="center"/>
    </xf>
    <xf numFmtId="164" fontId="0" fillId="0" borderId="4" xfId="0" applyNumberFormat="1" applyBorder="1" applyAlignment="1" applyProtection="1">
      <alignment horizontal="center"/>
      <protection locked="0"/>
    </xf>
    <xf numFmtId="10" fontId="0" fillId="0" borderId="4" xfId="0" applyNumberFormat="1" applyBorder="1" applyAlignment="1" applyProtection="1">
      <alignment horizontal="center"/>
      <protection locked="0"/>
    </xf>
    <xf numFmtId="164" fontId="0" fillId="0" borderId="2" xfId="0" applyNumberFormat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164" fontId="0" fillId="0" borderId="8" xfId="0" applyNumberFormat="1" applyBorder="1" applyAlignment="1" applyProtection="1">
      <alignment horizontal="center" vertical="center"/>
    </xf>
    <xf numFmtId="164" fontId="0" fillId="0" borderId="6" xfId="0" applyNumberFormat="1" applyBorder="1" applyAlignment="1" applyProtection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1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Percentual sugerido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APLICATIVO!$B$25:$B$30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FOFs</c:v>
                </c:pt>
                <c:pt idx="3">
                  <c:v>HÍBRIDOS</c:v>
                </c:pt>
                <c:pt idx="4">
                  <c:v>FIAGROS</c:v>
                </c:pt>
                <c:pt idx="5">
                  <c:v>DESENVOLVIMENTO</c:v>
                </c:pt>
              </c:strCache>
            </c:strRef>
          </c:cat>
          <c:val>
            <c:numRef>
              <c:f>APLICATIVO!$D$25:$D$30</c:f>
              <c:numCache>
                <c:formatCode>0%</c:formatCode>
                <c:ptCount val="6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0.05</c:v>
                </c:pt>
                <c:pt idx="4">
                  <c:v>0.03</c:v>
                </c:pt>
                <c:pt idx="5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D-4938-9BC8-1E3F003250A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APLICATIVO!$B$25:$B$30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FOFs</c:v>
                </c:pt>
                <c:pt idx="3">
                  <c:v>HÍBRIDOS</c:v>
                </c:pt>
                <c:pt idx="4">
                  <c:v>FIAGROS</c:v>
                </c:pt>
                <c:pt idx="5">
                  <c:v>DESENVOLVIMENTO</c:v>
                </c:pt>
              </c:strCache>
            </c:strRef>
          </c:cat>
          <c:val>
            <c:numRef>
              <c:f>APLICATIVO!$D$25:$D$30</c:f>
              <c:numCache>
                <c:formatCode>0%</c:formatCode>
                <c:ptCount val="6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0.05</c:v>
                </c:pt>
                <c:pt idx="4">
                  <c:v>0.03</c:v>
                </c:pt>
                <c:pt idx="5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BD-4938-9BC8-1E3F00325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144778</xdr:colOff>
      <xdr:row>0</xdr:row>
      <xdr:rowOff>60960</xdr:rowOff>
    </xdr:from>
    <xdr:to>
      <xdr:col>4</xdr:col>
      <xdr:colOff>1593273</xdr:colOff>
      <xdr:row>3</xdr:row>
      <xdr:rowOff>114300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C72FF8F-AD6C-138D-24F3-6B2E1B2E1965}"/>
            </a:ext>
          </a:extLst>
        </xdr:cNvPr>
        <xdr:cNvSpPr/>
      </xdr:nvSpPr>
      <xdr:spPr>
        <a:xfrm>
          <a:off x="144778" y="60960"/>
          <a:ext cx="5266192" cy="607522"/>
        </a:xfrm>
        <a:prstGeom prst="roundRect">
          <a:avLst/>
        </a:prstGeom>
        <a:ln>
          <a:solidFill>
            <a:srgbClr val="00B050"/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567113</xdr:colOff>
      <xdr:row>0</xdr:row>
      <xdr:rowOff>69274</xdr:rowOff>
    </xdr:from>
    <xdr:to>
      <xdr:col>1</xdr:col>
      <xdr:colOff>1042988</xdr:colOff>
      <xdr:row>3</xdr:row>
      <xdr:rowOff>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3A127A3-C69E-1BB6-1FD9-9EFF57597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355" y="69274"/>
          <a:ext cx="475875" cy="484909"/>
        </a:xfrm>
        <a:prstGeom prst="rect">
          <a:avLst/>
        </a:prstGeom>
      </xdr:spPr>
    </xdr:pic>
    <xdr:clientData/>
  </xdr:twoCellAnchor>
  <xdr:twoCellAnchor editAs="oneCell">
    <xdr:from>
      <xdr:col>1</xdr:col>
      <xdr:colOff>1000990</xdr:colOff>
      <xdr:row>0</xdr:row>
      <xdr:rowOff>53877</xdr:rowOff>
    </xdr:from>
    <xdr:to>
      <xdr:col>4</xdr:col>
      <xdr:colOff>992908</xdr:colOff>
      <xdr:row>2</xdr:row>
      <xdr:rowOff>146241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39E1073-2D1E-8D2A-244A-E24AB9B26DD5}"/>
            </a:ext>
          </a:extLst>
        </xdr:cNvPr>
        <xdr:cNvSpPr txBox="1"/>
      </xdr:nvSpPr>
      <xdr:spPr>
        <a:xfrm>
          <a:off x="1147232" y="53877"/>
          <a:ext cx="3663373" cy="461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>
              <a:solidFill>
                <a:schemeClr val="bg1"/>
              </a:solidFill>
              <a:latin typeface="Akira Expanded" panose="02000800000000000000" pitchFamily="50" charset="0"/>
            </a:rPr>
            <a:t>DIO</a:t>
          </a:r>
          <a:r>
            <a:rPr lang="pt-BR" sz="3600" baseline="0">
              <a:solidFill>
                <a:schemeClr val="bg1"/>
              </a:solidFill>
              <a:latin typeface="Akira Expanded" panose="02000800000000000000" pitchFamily="50" charset="0"/>
            </a:rPr>
            <a:t> INVEST</a:t>
          </a:r>
          <a:endParaRPr lang="pt-BR" sz="3600">
            <a:solidFill>
              <a:schemeClr val="bg1"/>
            </a:solidFill>
            <a:latin typeface="Akira Expanded" panose="02000800000000000000" pitchFamily="50" charset="0"/>
          </a:endParaRPr>
        </a:p>
      </xdr:txBody>
    </xdr:sp>
    <xdr:clientData/>
  </xdr:twoCellAnchor>
  <xdr:twoCellAnchor>
    <xdr:from>
      <xdr:col>1</xdr:col>
      <xdr:colOff>361758</xdr:colOff>
      <xdr:row>30</xdr:row>
      <xdr:rowOff>115455</xdr:rowOff>
    </xdr:from>
    <xdr:to>
      <xdr:col>4</xdr:col>
      <xdr:colOff>1100666</xdr:colOff>
      <xdr:row>43</xdr:row>
      <xdr:rowOff>113145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B2C9036-650C-5DD4-CD6D-E016DA315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90F2-94B1-4400-8308-0266D6C4FED8}">
  <sheetPr codeName="Planilha1"/>
  <dimension ref="B1:E64"/>
  <sheetViews>
    <sheetView showGridLines="0" showRowColHeaders="0" tabSelected="1" zoomScale="76" zoomScaleNormal="76" workbookViewId="0">
      <selection activeCell="E6" sqref="E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zeroHeight="1" x14ac:dyDescent="0.3"/>
  <cols>
    <col min="1" max="1" width="2.109375" customWidth="1"/>
    <col min="2" max="2" width="26.88671875" bestFit="1" customWidth="1"/>
    <col min="3" max="3" width="6.33203125" style="1" customWidth="1"/>
    <col min="4" max="4" width="20.33203125" bestFit="1" customWidth="1"/>
    <col min="5" max="5" width="23.33203125" customWidth="1"/>
    <col min="6" max="6" width="2.109375" customWidth="1"/>
    <col min="7" max="16384" width="8.88671875" hidden="1"/>
  </cols>
  <sheetData>
    <row r="1" spans="2:5" x14ac:dyDescent="0.3"/>
    <row r="2" spans="2:5" x14ac:dyDescent="0.3"/>
    <row r="3" spans="2:5" x14ac:dyDescent="0.3"/>
    <row r="4" spans="2:5" ht="15" thickBot="1" x14ac:dyDescent="0.35"/>
    <row r="5" spans="2:5" ht="24" customHeight="1" x14ac:dyDescent="0.3">
      <c r="B5" s="8" t="s">
        <v>6</v>
      </c>
      <c r="C5" s="9"/>
      <c r="D5" s="9"/>
      <c r="E5" s="10"/>
    </row>
    <row r="6" spans="2:5" x14ac:dyDescent="0.3">
      <c r="B6" s="3" t="s">
        <v>4</v>
      </c>
      <c r="C6" s="4"/>
      <c r="D6" s="4"/>
      <c r="E6" s="38">
        <v>5000</v>
      </c>
    </row>
    <row r="7" spans="2:5" x14ac:dyDescent="0.3">
      <c r="B7" s="3" t="s">
        <v>3</v>
      </c>
      <c r="C7" s="4"/>
      <c r="D7" s="4"/>
      <c r="E7" s="39">
        <v>6.0000000000000001E-3</v>
      </c>
    </row>
    <row r="8" spans="2:5" ht="15" thickBot="1" x14ac:dyDescent="0.35">
      <c r="B8" s="6" t="s">
        <v>8</v>
      </c>
      <c r="C8" s="32"/>
      <c r="D8" s="32"/>
      <c r="E8" s="33">
        <f>E6*30%</f>
        <v>1500</v>
      </c>
    </row>
    <row r="9" spans="2:5" ht="15" thickBot="1" x14ac:dyDescent="0.35"/>
    <row r="10" spans="2:5" ht="24" customHeight="1" thickBot="1" x14ac:dyDescent="0.35">
      <c r="B10" s="8" t="s">
        <v>7</v>
      </c>
      <c r="C10" s="9"/>
      <c r="D10" s="9"/>
      <c r="E10" s="10"/>
    </row>
    <row r="11" spans="2:5" x14ac:dyDescent="0.3">
      <c r="B11" s="3" t="s">
        <v>9</v>
      </c>
      <c r="C11" s="4"/>
      <c r="D11" s="4"/>
      <c r="E11" s="40">
        <v>200</v>
      </c>
    </row>
    <row r="12" spans="2:5" ht="15" thickBot="1" x14ac:dyDescent="0.35">
      <c r="B12" s="6" t="s">
        <v>0</v>
      </c>
      <c r="C12" s="32"/>
      <c r="D12" s="32"/>
      <c r="E12" s="37">
        <v>1.0789999999999999E-2</v>
      </c>
    </row>
    <row r="13" spans="2:5" ht="15" thickBot="1" x14ac:dyDescent="0.35"/>
    <row r="14" spans="2:5" ht="24" customHeight="1" x14ac:dyDescent="0.3">
      <c r="B14" s="8" t="s">
        <v>2</v>
      </c>
      <c r="C14" s="9"/>
      <c r="D14" s="9"/>
      <c r="E14" s="10"/>
    </row>
    <row r="15" spans="2:5" ht="14.4" customHeight="1" x14ac:dyDescent="0.3">
      <c r="B15" s="15"/>
      <c r="C15" s="14" t="s">
        <v>10</v>
      </c>
      <c r="D15" s="14" t="s">
        <v>1</v>
      </c>
      <c r="E15" s="16" t="s">
        <v>5</v>
      </c>
    </row>
    <row r="16" spans="2:5" ht="15" thickBot="1" x14ac:dyDescent="0.35">
      <c r="B16" s="5" t="str">
        <f>"Quanto em "&amp;C16&amp;" anos"</f>
        <v>Quanto em 5 anos</v>
      </c>
      <c r="C16" s="41">
        <v>5</v>
      </c>
      <c r="D16" s="17">
        <f>FV($E$12,$C$16*12,$E$11*-1)</f>
        <v>16755.382799697527</v>
      </c>
      <c r="E16" s="18">
        <f>D16*rendimento_carteira</f>
        <v>100.53229679818516</v>
      </c>
    </row>
    <row r="17" spans="2:5" ht="15" thickBot="1" x14ac:dyDescent="0.35">
      <c r="B17" s="7"/>
      <c r="C17" s="12"/>
      <c r="D17" s="7"/>
      <c r="E17" s="7"/>
    </row>
    <row r="18" spans="2:5" ht="15" thickBot="1" x14ac:dyDescent="0.35">
      <c r="B18" s="24" t="s">
        <v>27</v>
      </c>
      <c r="C18" s="25"/>
      <c r="D18" s="25"/>
      <c r="E18" s="26"/>
    </row>
    <row r="19" spans="2:5" ht="15" thickBot="1" x14ac:dyDescent="0.35">
      <c r="B19" s="7"/>
      <c r="C19" s="12"/>
      <c r="D19" s="7"/>
      <c r="E19" s="7"/>
    </row>
    <row r="20" spans="2:5" ht="15" thickBot="1" x14ac:dyDescent="0.35">
      <c r="B20" s="44" t="s">
        <v>11</v>
      </c>
      <c r="C20" s="45"/>
      <c r="D20" s="46" t="s">
        <v>14</v>
      </c>
      <c r="E20" s="47"/>
    </row>
    <row r="21" spans="2:5" ht="15" thickBot="1" x14ac:dyDescent="0.35">
      <c r="B21" s="22" t="s">
        <v>22</v>
      </c>
      <c r="C21" s="23"/>
      <c r="D21" s="42">
        <f>valor_por_mÊs</f>
        <v>200</v>
      </c>
      <c r="E21" s="43"/>
    </row>
    <row r="22" spans="2:5" x14ac:dyDescent="0.3"/>
    <row r="23" spans="2:5" x14ac:dyDescent="0.3"/>
    <row r="24" spans="2:5" x14ac:dyDescent="0.3">
      <c r="B24" s="11" t="s">
        <v>24</v>
      </c>
      <c r="C24" s="11"/>
      <c r="D24" s="11" t="s">
        <v>25</v>
      </c>
      <c r="E24" s="11" t="s">
        <v>23</v>
      </c>
    </row>
    <row r="25" spans="2:5" x14ac:dyDescent="0.3">
      <c r="B25" s="27" t="s">
        <v>15</v>
      </c>
      <c r="C25" s="21"/>
      <c r="D25" s="28" cm="1">
        <f t="array" ref="D25">IFERROR(_xlfn.XLOOKUP(1,('PERFIL DO INVESTIDOR'!B:B=$D$20)*('PERFIL DO INVESTIDOR'!C:C=$B25),'PERFIL DO INVESTIDOR'!D:D),0)</f>
        <v>0.4</v>
      </c>
      <c r="E25" s="30">
        <f>D25*$D$21</f>
        <v>80</v>
      </c>
    </row>
    <row r="26" spans="2:5" x14ac:dyDescent="0.3">
      <c r="B26" s="27" t="s">
        <v>16</v>
      </c>
      <c r="C26" s="21"/>
      <c r="D26" s="28" cm="1">
        <f t="array" ref="D26">IFERROR(_xlfn.XLOOKUP(1,('PERFIL DO INVESTIDOR'!B:B=$D$20)*('PERFIL DO INVESTIDOR'!C:C=$B26),'PERFIL DO INVESTIDOR'!D:D),0)</f>
        <v>0.35</v>
      </c>
      <c r="E26" s="30">
        <f t="shared" ref="E26:E30" si="0">D26*$D$21</f>
        <v>70</v>
      </c>
    </row>
    <row r="27" spans="2:5" x14ac:dyDescent="0.3">
      <c r="B27" s="27" t="s">
        <v>17</v>
      </c>
      <c r="C27" s="21"/>
      <c r="D27" s="28" cm="1">
        <f t="array" ref="D27">IFERROR(_xlfn.XLOOKUP(1,('PERFIL DO INVESTIDOR'!B:B=$D$20)*('PERFIL DO INVESTIDOR'!C:C=$B27),'PERFIL DO INVESTIDOR'!D:D),0)</f>
        <v>0.15</v>
      </c>
      <c r="E27" s="30">
        <f t="shared" si="0"/>
        <v>30</v>
      </c>
    </row>
    <row r="28" spans="2:5" x14ac:dyDescent="0.3">
      <c r="B28" s="27" t="s">
        <v>18</v>
      </c>
      <c r="C28" s="21"/>
      <c r="D28" s="28" cm="1">
        <f t="array" ref="D28">IFERROR(_xlfn.XLOOKUP(1,('PERFIL DO INVESTIDOR'!B:B=$D$20)*('PERFIL DO INVESTIDOR'!C:C=$B28),'PERFIL DO INVESTIDOR'!D:D),0)</f>
        <v>0.05</v>
      </c>
      <c r="E28" s="30">
        <f t="shared" si="0"/>
        <v>10</v>
      </c>
    </row>
    <row r="29" spans="2:5" x14ac:dyDescent="0.3">
      <c r="B29" s="27" t="s">
        <v>19</v>
      </c>
      <c r="C29" s="21"/>
      <c r="D29" s="28" cm="1">
        <f t="array" ref="D29">IFERROR(_xlfn.XLOOKUP(1,('PERFIL DO INVESTIDOR'!B:B=$D$20)*('PERFIL DO INVESTIDOR'!C:C=$B29),'PERFIL DO INVESTIDOR'!D:D),0)</f>
        <v>0.03</v>
      </c>
      <c r="E29" s="30">
        <f t="shared" si="0"/>
        <v>6</v>
      </c>
    </row>
    <row r="30" spans="2:5" ht="15" thickBot="1" x14ac:dyDescent="0.35">
      <c r="B30" s="22" t="s">
        <v>20</v>
      </c>
      <c r="C30" s="23"/>
      <c r="D30" s="29" cm="1">
        <f t="array" ref="D30">IFERROR(_xlfn.XLOOKUP(1,('PERFIL DO INVESTIDOR'!B:B=$D$20)*('PERFIL DO INVESTIDOR'!C:C=$B30),'PERFIL DO INVESTIDOR'!D:D),0)</f>
        <v>0.02</v>
      </c>
      <c r="E30" s="31">
        <f t="shared" si="0"/>
        <v>4</v>
      </c>
    </row>
    <row r="31" spans="2:5" x14ac:dyDescent="0.3"/>
    <row r="32" spans="2:5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ht="5.4" customHeight="1" x14ac:dyDescent="0.3"/>
    <row r="64" ht="3" hidden="1" customHeight="1" x14ac:dyDescent="0.3"/>
  </sheetData>
  <sheetProtection sheet="1" objects="1" scenarios="1" selectLockedCells="1"/>
  <mergeCells count="21">
    <mergeCell ref="B29:C29"/>
    <mergeCell ref="B30:C30"/>
    <mergeCell ref="D24:E24"/>
    <mergeCell ref="B24:C24"/>
    <mergeCell ref="B25:C25"/>
    <mergeCell ref="B26:C26"/>
    <mergeCell ref="B27:C27"/>
    <mergeCell ref="B28:C28"/>
    <mergeCell ref="B14:E14"/>
    <mergeCell ref="D20:E20"/>
    <mergeCell ref="D21:E21"/>
    <mergeCell ref="B20:C20"/>
    <mergeCell ref="B21:C21"/>
    <mergeCell ref="B18:E18"/>
    <mergeCell ref="B11:D11"/>
    <mergeCell ref="B12:D12"/>
    <mergeCell ref="B5:E5"/>
    <mergeCell ref="B6:D6"/>
    <mergeCell ref="B7:D7"/>
    <mergeCell ref="B8:D8"/>
    <mergeCell ref="B10:E10"/>
  </mergeCells>
  <dataValidations count="2">
    <dataValidation type="list" allowBlank="1" showInputMessage="1" showErrorMessage="1" errorTitle="Escolha valor dentro da lista" error="Selecione um valor listado." promptTitle="Escolha a quantidade de anos" prompt="Escolha a quantidade de anos para cálculo do cenário" sqref="C16" xr:uid="{B82504B9-28D4-4D32-885B-617570708201}">
      <formula1>"1,2,3,4,5,6,7,8,9,10,11,12,13,14,15,16,17,18,19,20,21,22,23,24,25,26,27,28,29,30"</formula1>
    </dataValidation>
    <dataValidation type="list" allowBlank="1" showInputMessage="1" showErrorMessage="1" errorTitle="Perfil não existente" error="Escolha somente entre os perfis listados." promptTitle="Selecione seu perfil" prompt="Selecione o perfil mas adequado ao seu estilo." sqref="D20:E20" xr:uid="{BDC68325-40E5-430E-B7FF-DF5C22182F50}">
      <formula1>"Conservador,Moderado,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4F2C-F5D3-464D-BB6E-A738596D8330}">
  <sheetPr codeName="Planilha2"/>
  <dimension ref="B1:D20"/>
  <sheetViews>
    <sheetView showGridLines="0" showRowColHeaders="0" workbookViewId="0">
      <selection activeCell="A21" sqref="A21:XFD104857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zeroHeight="1" x14ac:dyDescent="0.3"/>
  <cols>
    <col min="1" max="1" width="8.88671875" customWidth="1"/>
    <col min="2" max="2" width="11.21875" bestFit="1" customWidth="1"/>
    <col min="3" max="3" width="17.6640625" bestFit="1" customWidth="1"/>
    <col min="4" max="4" width="15.21875" bestFit="1" customWidth="1"/>
    <col min="5" max="5" width="8.88671875" customWidth="1"/>
    <col min="6" max="16384" width="8.88671875" hidden="1"/>
  </cols>
  <sheetData>
    <row r="1" spans="2:4" x14ac:dyDescent="0.3">
      <c r="B1" s="19" t="s">
        <v>11</v>
      </c>
      <c r="C1" s="20" t="s">
        <v>12</v>
      </c>
      <c r="D1" s="34" t="s">
        <v>13</v>
      </c>
    </row>
    <row r="2" spans="2:4" x14ac:dyDescent="0.3">
      <c r="B2" s="2" t="s">
        <v>14</v>
      </c>
      <c r="C2" s="12" t="s">
        <v>15</v>
      </c>
      <c r="D2" s="35">
        <v>0.4</v>
      </c>
    </row>
    <row r="3" spans="2:4" x14ac:dyDescent="0.3">
      <c r="B3" s="2" t="s">
        <v>14</v>
      </c>
      <c r="C3" s="12" t="s">
        <v>16</v>
      </c>
      <c r="D3" s="35">
        <v>0.35</v>
      </c>
    </row>
    <row r="4" spans="2:4" x14ac:dyDescent="0.3">
      <c r="B4" s="2" t="s">
        <v>14</v>
      </c>
      <c r="C4" s="12" t="s">
        <v>17</v>
      </c>
      <c r="D4" s="35">
        <v>0.15</v>
      </c>
    </row>
    <row r="5" spans="2:4" x14ac:dyDescent="0.3">
      <c r="B5" s="2" t="s">
        <v>14</v>
      </c>
      <c r="C5" s="12" t="s">
        <v>18</v>
      </c>
      <c r="D5" s="35">
        <v>0.05</v>
      </c>
    </row>
    <row r="6" spans="2:4" x14ac:dyDescent="0.3">
      <c r="B6" s="2" t="s">
        <v>14</v>
      </c>
      <c r="C6" s="12" t="s">
        <v>19</v>
      </c>
      <c r="D6" s="35">
        <v>0.03</v>
      </c>
    </row>
    <row r="7" spans="2:4" x14ac:dyDescent="0.3">
      <c r="B7" s="2" t="s">
        <v>14</v>
      </c>
      <c r="C7" s="12" t="s">
        <v>20</v>
      </c>
      <c r="D7" s="35">
        <v>0.02</v>
      </c>
    </row>
    <row r="8" spans="2:4" x14ac:dyDescent="0.3">
      <c r="B8" s="2" t="s">
        <v>21</v>
      </c>
      <c r="C8" s="12" t="s">
        <v>15</v>
      </c>
      <c r="D8" s="35">
        <v>0.35</v>
      </c>
    </row>
    <row r="9" spans="2:4" x14ac:dyDescent="0.3">
      <c r="B9" s="2" t="s">
        <v>21</v>
      </c>
      <c r="C9" s="12" t="s">
        <v>16</v>
      </c>
      <c r="D9" s="35">
        <v>0.25</v>
      </c>
    </row>
    <row r="10" spans="2:4" x14ac:dyDescent="0.3">
      <c r="B10" s="2" t="s">
        <v>21</v>
      </c>
      <c r="C10" s="12" t="s">
        <v>17</v>
      </c>
      <c r="D10" s="35">
        <v>0.15</v>
      </c>
    </row>
    <row r="11" spans="2:4" x14ac:dyDescent="0.3">
      <c r="B11" s="2" t="s">
        <v>21</v>
      </c>
      <c r="C11" s="12" t="s">
        <v>18</v>
      </c>
      <c r="D11" s="35">
        <v>0.1</v>
      </c>
    </row>
    <row r="12" spans="2:4" x14ac:dyDescent="0.3">
      <c r="B12" s="2" t="s">
        <v>21</v>
      </c>
      <c r="C12" s="12" t="s">
        <v>19</v>
      </c>
      <c r="D12" s="35">
        <v>0.08</v>
      </c>
    </row>
    <row r="13" spans="2:4" x14ac:dyDescent="0.3">
      <c r="B13" s="2" t="s">
        <v>21</v>
      </c>
      <c r="C13" s="12" t="s">
        <v>20</v>
      </c>
      <c r="D13" s="35">
        <v>7.0000000000000007E-2</v>
      </c>
    </row>
    <row r="14" spans="2:4" x14ac:dyDescent="0.3">
      <c r="B14" s="2" t="s">
        <v>26</v>
      </c>
      <c r="C14" s="12" t="s">
        <v>15</v>
      </c>
      <c r="D14" s="35">
        <v>0.3</v>
      </c>
    </row>
    <row r="15" spans="2:4" x14ac:dyDescent="0.3">
      <c r="B15" s="2" t="s">
        <v>26</v>
      </c>
      <c r="C15" s="12" t="s">
        <v>16</v>
      </c>
      <c r="D15" s="35">
        <v>0.15</v>
      </c>
    </row>
    <row r="16" spans="2:4" x14ac:dyDescent="0.3">
      <c r="B16" s="2" t="s">
        <v>26</v>
      </c>
      <c r="C16" s="12" t="s">
        <v>17</v>
      </c>
      <c r="D16" s="35">
        <v>0.15</v>
      </c>
    </row>
    <row r="17" spans="2:4" x14ac:dyDescent="0.3">
      <c r="B17" s="2" t="s">
        <v>26</v>
      </c>
      <c r="C17" s="12" t="s">
        <v>18</v>
      </c>
      <c r="D17" s="35">
        <v>0.1</v>
      </c>
    </row>
    <row r="18" spans="2:4" x14ac:dyDescent="0.3">
      <c r="B18" s="2" t="s">
        <v>26</v>
      </c>
      <c r="C18" s="12" t="s">
        <v>19</v>
      </c>
      <c r="D18" s="35">
        <v>0.15</v>
      </c>
    </row>
    <row r="19" spans="2:4" ht="15" thickBot="1" x14ac:dyDescent="0.35">
      <c r="B19" s="5" t="s">
        <v>26</v>
      </c>
      <c r="C19" s="13" t="s">
        <v>20</v>
      </c>
      <c r="D19" s="36">
        <v>0.15</v>
      </c>
    </row>
    <row r="20" spans="2:4" x14ac:dyDescent="0.3"/>
  </sheetData>
  <sheetProtection algorithmName="SHA-512" hashValue="8lDlsXhNAXS0X8et/US9vtpTHHLvzrsyeLjPN71t8DZbLmSjTIrJXrqC1ObK3q3I/LojFJQ/NvaCt0VUxf47fg==" saltValue="K66+/K3XBT9gxoHW0IHERw==" spinCount="100000" sheet="1" objects="1" scenarios="1" selectLockedCells="1" selectUn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APLICATIVO</vt:lpstr>
      <vt:lpstr>PERFIL DO INVESTIDOR</vt:lpstr>
      <vt:lpstr>rendimento_carteira</vt:lpstr>
      <vt:lpstr>valor_por_mÊs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Sisley Caroline</dc:creator>
  <cp:lastModifiedBy>Sisley Caroline</cp:lastModifiedBy>
  <dcterms:created xsi:type="dcterms:W3CDTF">2026-02-04T00:25:08Z</dcterms:created>
  <dcterms:modified xsi:type="dcterms:W3CDTF">2026-02-11T22:58:30Z</dcterms:modified>
</cp:coreProperties>
</file>